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Detalhe" sheetId="2" state="visible" r:id="rId2"/>
    <sheet name="Parametros" sheetId="3" state="visible" r:id="rId3"/>
    <sheet name="Propo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 &quot;€&quot;"/>
    <numFmt numFmtId="165" formatCode="0.0"/>
    <numFmt numFmtId="166" formatCode="0.0%"/>
    <numFmt numFmtId="167" formatCode="#,##0.0 &quot;h&quot;"/>
    <numFmt numFmtId="168" formatCode="#,##0.00 &quot;€&quot;"/>
    <numFmt numFmtId="169" formatCode="0 &quot; semanas&quot;"/>
    <numFmt numFmtId="170" formatCode="#,##0 &quot;€ / mês&quot;"/>
    <numFmt numFmtId="171" formatCode="#,##0 &quot;€ / ano&quot;"/>
  </numFmts>
  <fonts count="8">
    <font>
      <name val="Calibri"/>
      <family val="2"/>
      <color theme="1"/>
      <sz val="11"/>
      <scheme val="minor"/>
    </font>
    <font>
      <b val="1"/>
      <color rgb="000F2E4C"/>
      <sz val="16"/>
    </font>
    <font>
      <i val="1"/>
      <color rgb="00777777"/>
      <sz val="9"/>
    </font>
    <font>
      <b val="1"/>
      <color rgb="00FFFFFF"/>
      <sz val="11"/>
    </font>
    <font>
      <sz val="11"/>
    </font>
    <font>
      <b val="1"/>
      <sz val="11"/>
    </font>
    <font>
      <b val="1"/>
      <color rgb="000F2E4C"/>
      <sz val="14"/>
    </font>
    <font>
      <b val="1"/>
      <color rgb="000F2E4C"/>
      <sz val="11"/>
    </font>
  </fonts>
  <fills count="7">
    <fill>
      <patternFill/>
    </fill>
    <fill>
      <patternFill patternType="gray125"/>
    </fill>
    <fill>
      <patternFill patternType="solid">
        <fgColor rgb="000F2E4C"/>
      </patternFill>
    </fill>
    <fill>
      <patternFill patternType="solid">
        <fgColor rgb="00FFF3C4"/>
      </patternFill>
    </fill>
    <fill>
      <patternFill patternType="solid">
        <fgColor rgb="00F2F2F2"/>
      </patternFill>
    </fill>
    <fill>
      <patternFill patternType="solid">
        <fgColor rgb="00E8F0F7"/>
      </patternFill>
    </fill>
    <fill>
      <patternFill patternType="solid">
        <fgColor rgb="00E4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49" fontId="5" fillId="3" borderId="1" applyAlignment="1" pivotButton="0" quotePrefix="0" xfId="0">
      <alignment horizontal="left"/>
    </xf>
    <xf numFmtId="1" fontId="5" fillId="3" borderId="1" applyAlignment="1" pivotButton="0" quotePrefix="0" xfId="0">
      <alignment horizontal="left"/>
    </xf>
    <xf numFmtId="9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167" fontId="5" fillId="0" borderId="1" pivotButton="0" quotePrefix="0" xfId="0"/>
    <xf numFmtId="169" fontId="5" fillId="0" borderId="1" pivotButton="0" quotePrefix="0" xfId="0"/>
    <xf numFmtId="168" fontId="5" fillId="0" borderId="1" pivotButton="0" quotePrefix="0" xfId="0"/>
    <xf numFmtId="0" fontId="7" fillId="5" borderId="1" pivotButton="0" quotePrefix="0" xfId="0"/>
    <xf numFmtId="0" fontId="5" fillId="0" borderId="1" pivotButton="0" quotePrefix="0" xfId="0"/>
    <xf numFmtId="164" fontId="5" fillId="6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vertical="center" wrapText="1"/>
    </xf>
    <xf numFmtId="164" fontId="6" fillId="6" borderId="1" pivotButton="0" quotePrefix="0" xfId="0"/>
    <xf numFmtId="170" fontId="5" fillId="6" borderId="1" pivotButton="0" quotePrefix="0" xfId="0"/>
    <xf numFmtId="171" fontId="0" fillId="0" borderId="1" pivotButton="0" quotePrefix="0" xfId="0"/>
    <xf numFmtId="9" fontId="0" fillId="3" borderId="1" pivotButton="0" quotePrefix="0" xfId="0"/>
    <xf numFmtId="164" fontId="5" fillId="0" borderId="1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  <xf numFmtId="0" fontId="4" fillId="4" borderId="1" pivotButton="0" quotePrefix="0" xfId="0"/>
    <xf numFmtId="167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68" fontId="0" fillId="4" borderId="1" pivotButton="0" quotePrefix="0" xfId="0"/>
    <xf numFmtId="0" fontId="5" fillId="5" borderId="1" pivotButton="0" quotePrefix="0" xfId="0"/>
    <xf numFmtId="167" fontId="5" fillId="5" borderId="1" pivotButton="0" quotePrefix="0" xfId="0"/>
    <xf numFmtId="168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168" fontId="6" fillId="6" borderId="1" pivotButton="0" quotePrefix="0" xfId="0"/>
    <xf numFmtId="164" fontId="5" fillId="3" borderId="1" pivotButton="0" quotePrefix="0" xfId="0"/>
    <xf numFmtId="9" fontId="5" fillId="3" borderId="1" pivotButton="0" quotePrefix="0" xfId="0"/>
    <xf numFmtId="1" fontId="5" fillId="3" borderId="1" pivotButton="0" quotePrefix="0" xfId="0"/>
    <xf numFmtId="2" fontId="5" fillId="3" borderId="1" pivotButton="0" quotePrefix="0" xfId="0"/>
    <xf numFmtId="165" fontId="5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166" fontId="0" fillId="3" borderId="1" pivotButton="0" quotePrefix="0" xfId="0"/>
    <xf numFmtId="17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E4C"/>
    <outlinePr summaryBelow="1" summaryRight="1"/>
    <pageSetUpPr/>
  </sheetPr>
  <dimension ref="B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18" customWidth="1" min="4" max="4"/>
    <col width="58" customWidth="1" min="5" max="5"/>
  </cols>
  <sheetData>
    <row r="1">
      <c r="B1" s="1" t="inlineStr">
        <is>
          <t>CALCULADORA DE PREÇOS esDEV</t>
        </is>
      </c>
    </row>
    <row r="2">
      <c r="B2" s="2" t="inlineStr">
        <is>
          <t>Preenche apenas as células amarelas. Tudo o resto é calculado.</t>
        </is>
      </c>
    </row>
    <row r="4" ht="20" customHeight="1">
      <c r="B4" s="3" t="inlineStr">
        <is>
          <t>1. CARACTERÍSTICAS DO PROJETO</t>
        </is>
      </c>
      <c r="C4" s="4" t="n"/>
      <c r="D4" s="4" t="n"/>
      <c r="E4" s="4" t="n"/>
    </row>
    <row r="5">
      <c r="B5" s="5" t="inlineStr">
        <is>
          <t>Cliente / Projeto</t>
        </is>
      </c>
      <c r="C5" s="6" t="inlineStr">
        <is>
          <t>Cliente / Nome do projeto</t>
        </is>
      </c>
    </row>
    <row r="6">
      <c r="B6" s="5" t="inlineStr">
        <is>
          <t>Tipo de projeto</t>
        </is>
      </c>
      <c r="C6" s="6" t="inlineStr">
        <is>
          <t>Website institucional (até 5 páginas)</t>
        </is>
      </c>
      <c r="D6" s="2" t="inlineStr">
        <is>
          <t>Define as horas base de cada fase.</t>
        </is>
      </c>
    </row>
    <row r="7">
      <c r="B7" s="5" t="inlineStr">
        <is>
          <t>Nível de complexidade</t>
        </is>
      </c>
      <c r="C7" s="6" t="inlineStr">
        <is>
          <t>Média — padrão de mercado</t>
        </is>
      </c>
    </row>
    <row r="8">
      <c r="B8" s="5" t="inlineStr">
        <is>
          <t>Nº de páginas / ecrãs</t>
        </is>
      </c>
      <c r="C8" s="7" t="n">
        <v>5</v>
      </c>
      <c r="D8" s="2" t="inlineStr">
        <is>
          <t>Acima das páginas incluídas, cada página soma horas.</t>
        </is>
      </c>
    </row>
    <row r="9">
      <c r="B9" s="5" t="inlineStr">
        <is>
          <t>Nível de design</t>
        </is>
      </c>
      <c r="C9" s="6" t="inlineStr">
        <is>
          <t>Semi-custom (base + identidade)</t>
        </is>
      </c>
    </row>
    <row r="10">
      <c r="B10" s="5" t="inlineStr">
        <is>
          <t>Nº de idiomas</t>
        </is>
      </c>
      <c r="C10" s="7" t="n">
        <v>1</v>
      </c>
      <c r="D10" s="2" t="inlineStr">
        <is>
          <t>Cada idioma extra acresce % em frontend, QA, conteúdos e SEO.</t>
        </is>
      </c>
    </row>
    <row r="11">
      <c r="B11" s="5" t="inlineStr">
        <is>
          <t>Nº de integrações externas</t>
        </is>
      </c>
      <c r="C11" s="7" t="n">
        <v>0</v>
      </c>
      <c r="D11" s="2" t="inlineStr">
        <is>
          <t>Pagamentos, CRM, ERP, APIs, newsletter…</t>
        </is>
      </c>
    </row>
    <row r="12">
      <c r="B12" s="5" t="inlineStr">
        <is>
          <t>Conteúdos (textos / imagens)</t>
        </is>
      </c>
      <c r="C12" s="6" t="inlineStr">
        <is>
          <t>Cliente fornece textos e imagens</t>
        </is>
      </c>
    </row>
    <row r="13">
      <c r="B13" s="5" t="inlineStr">
        <is>
          <t>SEO</t>
        </is>
      </c>
      <c r="C13" s="6" t="inlineStr">
        <is>
          <t>SEO base (on-page + meta)</t>
        </is>
      </c>
    </row>
    <row r="14">
      <c r="B14" s="5" t="inlineStr">
        <is>
          <t>Prazo / urgência</t>
        </is>
      </c>
      <c r="C14" s="6" t="inlineStr">
        <is>
          <t>Normal (prazo confortável)</t>
        </is>
      </c>
    </row>
    <row r="15">
      <c r="B15" s="5" t="inlineStr">
        <is>
          <t>Perfil de cliente</t>
        </is>
      </c>
      <c r="C15" s="6" t="inlineStr">
        <is>
          <t>PME</t>
        </is>
      </c>
    </row>
    <row r="16">
      <c r="B16" s="5" t="inlineStr">
        <is>
          <t>Desconto comercial</t>
        </is>
      </c>
      <c r="C16" s="8" t="n">
        <v>0</v>
      </c>
      <c r="D16" s="2" t="inlineStr">
        <is>
          <t>Usar com critério: sai direto da margem.</t>
        </is>
      </c>
    </row>
    <row r="17">
      <c r="B17" s="5" t="inlineStr">
        <is>
          <t>Custos externos a repassar</t>
        </is>
      </c>
      <c r="C17" s="9" t="n">
        <v>0</v>
      </c>
      <c r="D17" s="2" t="inlineStr">
        <is>
          <t>Licenças, fotografia, domínio, 1º ano de alojamento.</t>
        </is>
      </c>
    </row>
    <row r="19" ht="20" customHeight="1">
      <c r="B19" s="3" t="inlineStr">
        <is>
          <t>2. ESFORÇO E PRAZO</t>
        </is>
      </c>
      <c r="C19" s="4" t="n"/>
      <c r="D19" s="4" t="n"/>
      <c r="E19" s="4" t="n"/>
    </row>
    <row r="20">
      <c r="B20" s="5" t="inlineStr">
        <is>
          <t>Horas estimadas (com gestão e buffer)</t>
        </is>
      </c>
      <c r="C20" s="10">
        <f>Detalhe!D16</f>
        <v/>
      </c>
    </row>
    <row r="21">
      <c r="B21" s="5" t="inlineStr">
        <is>
          <t>Prazo de produção estimado</t>
        </is>
      </c>
      <c r="C21" s="11">
        <f>ROUNDUP(Detalhe!D16/Parametros!$B$17,0)</f>
        <v/>
      </c>
    </row>
    <row r="22">
      <c r="B22" s="5" t="inlineStr">
        <is>
          <t>Preço base do modelo</t>
        </is>
      </c>
      <c r="C22" s="12">
        <f>Detalhe!F20</f>
        <v/>
      </c>
    </row>
    <row r="24" ht="20" customHeight="1">
      <c r="B24" s="3" t="inlineStr">
        <is>
          <t>3. ESCALÕES DE PREÇO</t>
        </is>
      </c>
      <c r="C24" s="4" t="n"/>
      <c r="D24" s="4" t="n"/>
      <c r="E24" s="4" t="n"/>
    </row>
    <row r="25">
      <c r="B25" s="13" t="inlineStr">
        <is>
          <t>Escalão</t>
        </is>
      </c>
      <c r="C25" s="13" t="inlineStr">
        <is>
          <t>Sem IVA</t>
        </is>
      </c>
      <c r="D25" s="13" t="inlineStr">
        <is>
          <t>Com IVA</t>
        </is>
      </c>
      <c r="E25" s="13" t="inlineStr">
        <is>
          <t>Quando usar</t>
        </is>
      </c>
    </row>
    <row r="26" ht="30" customHeight="1">
      <c r="B26" s="14" t="inlineStr">
        <is>
          <t>Preço Mínimo</t>
        </is>
      </c>
      <c r="C26" s="15">
        <f>MAX(VLOOKUP($C$6,Parametros!$A$27:$I$33,9,FALSE),ROUND($C$22*Parametros!$B$18/Parametros!$B$23,0)*Parametros!$B$23)*(1-$C$16)+$C$17</f>
        <v/>
      </c>
      <c r="D26" s="16">
        <f>C26*(1+Parametros!$B$24)</f>
        <v/>
      </c>
      <c r="E26" s="17" t="inlineStr">
        <is>
          <t>Piso de negociação. Abaixo disto, recusar o projeto.</t>
        </is>
      </c>
    </row>
    <row r="27" ht="30" customHeight="1">
      <c r="B27" s="14" t="inlineStr">
        <is>
          <t>Preço Recomendado</t>
        </is>
      </c>
      <c r="C27" s="18">
        <f>MAX(VLOOKUP($C$6,Parametros!$A$27:$I$33,9,FALSE),ROUND($C$22*1/Parametros!$B$23,0)*Parametros!$B$23)*(1-$C$16)+$C$17</f>
        <v/>
      </c>
      <c r="D27" s="16">
        <f>C27*(1+Parametros!$B$24)</f>
        <v/>
      </c>
      <c r="E27" s="17" t="inlineStr">
        <is>
          <t>Valor a apresentar por defeito na proposta.</t>
        </is>
      </c>
    </row>
    <row r="28" ht="30" customHeight="1">
      <c r="B28" s="14" t="inlineStr">
        <is>
          <t>Preço Premium</t>
        </is>
      </c>
      <c r="C28" s="15">
        <f>MAX(VLOOKUP($C$6,Parametros!$A$27:$I$33,9,FALSE),ROUND($C$22*Parametros!$B$19/Parametros!$B$23,0)*Parametros!$B$23)*(1-$C$16)+$C$17</f>
        <v/>
      </c>
      <c r="D28" s="16">
        <f>C28*(1+Parametros!$B$24)</f>
        <v/>
      </c>
      <c r="E28" s="17" t="inlineStr">
        <is>
          <t>Prioridade na fila, revisões extra e acompanhamento próximo.</t>
        </is>
      </c>
    </row>
    <row r="29">
      <c r="B29" s="5" t="inlineStr">
        <is>
          <t>Valor / hora efetivo (Recomendado)</t>
        </is>
      </c>
      <c r="C29" s="12">
        <f>IFERROR(($C$27-$C$17)/$C$20,0)</f>
        <v/>
      </c>
      <c r="E29" s="2" t="inlineStr">
        <is>
          <t>Comparar com a tarifa alvo. Se descer muito, o desconto é excessivo.</t>
        </is>
      </c>
    </row>
    <row r="31" ht="20" customHeight="1">
      <c r="B31" s="3" t="inlineStr">
        <is>
          <t>4. MANUTENÇÃO MENSAL</t>
        </is>
      </c>
      <c r="C31" s="4" t="n"/>
      <c r="D31" s="4" t="n"/>
      <c r="E31" s="4" t="n"/>
    </row>
    <row r="32" ht="30" customHeight="1">
      <c r="B32" s="14" t="inlineStr">
        <is>
          <t>Plano Essencial</t>
        </is>
      </c>
      <c r="C32" s="19">
        <f>MAX(Parametros!$C$66,ROUND($C$27*Parametros!$B$66,0))</f>
        <v/>
      </c>
      <c r="D32" s="20">
        <f>C32*12</f>
        <v/>
      </c>
      <c r="E32" s="17" t="inlineStr">
        <is>
          <t>Alojamento, updates de segurança, backups, 1h/mês de alterações, resposta em 3 dias úteis.</t>
        </is>
      </c>
    </row>
    <row r="33" ht="30" customHeight="1">
      <c r="B33" s="14" t="inlineStr">
        <is>
          <t>Plano Pro</t>
        </is>
      </c>
      <c r="C33" s="19">
        <f>MAX(Parametros!$C$67,ROUND($C$27*Parametros!$B$67,0))</f>
        <v/>
      </c>
      <c r="D33" s="20">
        <f>C33*12</f>
        <v/>
      </c>
      <c r="E33" s="17" t="inlineStr">
        <is>
          <t>Tudo do Essencial + monitorização, 3h/mês de alterações, relatório trimestral, resposta em 1 dia útil.</t>
        </is>
      </c>
    </row>
    <row r="34" ht="30" customHeight="1">
      <c r="B34" s="14" t="inlineStr">
        <is>
          <t>Plano Premium</t>
        </is>
      </c>
      <c r="C34" s="19">
        <f>MAX(Parametros!$C$68,ROUND($C$27*Parametros!$B$68,0))</f>
        <v/>
      </c>
      <c r="D34" s="20">
        <f>C34*12</f>
        <v/>
      </c>
      <c r="E34" s="17" t="inlineStr">
        <is>
          <t>Tudo do Pro + 6h/mês de evolução, prioridade absoluta, SLA 4h úteis, reunião mensal.</t>
        </is>
      </c>
    </row>
    <row r="36" ht="20" customHeight="1">
      <c r="B36" s="3" t="inlineStr">
        <is>
          <t>5. PLANO DE PAGAMENTO (sobre o Preço Recomendado)</t>
        </is>
      </c>
      <c r="C36" s="4" t="n"/>
      <c r="D36" s="4" t="n"/>
      <c r="E36" s="4" t="n"/>
    </row>
    <row r="37">
      <c r="B37" s="5" t="inlineStr">
        <is>
          <t>Sinal — arranque</t>
        </is>
      </c>
      <c r="C37" s="21" t="n">
        <v>0.4</v>
      </c>
      <c r="D37" s="22">
        <f>$C$27*C37</f>
        <v/>
      </c>
    </row>
    <row r="38">
      <c r="B38" s="5" t="inlineStr">
        <is>
          <t>Aprovação do design / staging</t>
        </is>
      </c>
      <c r="C38" s="21" t="n">
        <v>0.3</v>
      </c>
      <c r="D38" s="22">
        <f>$C$27*C38</f>
        <v/>
      </c>
    </row>
    <row r="39">
      <c r="B39" s="5" t="inlineStr">
        <is>
          <t>Entrega e publicação</t>
        </is>
      </c>
      <c r="C39" s="21" t="n">
        <v>0.3</v>
      </c>
      <c r="D39" s="22">
        <f>$C$27*C39</f>
        <v/>
      </c>
    </row>
  </sheetData>
  <dataValidations count="7">
    <dataValidation sqref="C6" showDropDown="0" showInputMessage="0" showErrorMessage="0" allowBlank="0" error="Escolhe uma opção da lista (definida na folha Parametros)." type="list">
      <formula1>=Parametros!$A$27:$A$33</formula1>
    </dataValidation>
    <dataValidation sqref="C7" showDropDown="0" showInputMessage="0" showErrorMessage="0" allowBlank="0" error="Escolhe uma opção da lista (definida na folha Parametros)." type="list">
      <formula1>=Parametros!$A$36:$A$39</formula1>
    </dataValidation>
    <dataValidation sqref="C9" showDropDown="0" showInputMessage="0" showErrorMessage="0" allowBlank="0" error="Escolhe uma opção da lista (definida na folha Parametros)." type="list">
      <formula1>=Parametros!$A$42:$A$44</formula1>
    </dataValidation>
    <dataValidation sqref="C12" showDropDown="0" showInputMessage="0" showErrorMessage="0" allowBlank="0" error="Escolhe uma opção da lista (definida na folha Parametros)." type="list">
      <formula1>=Parametros!$A$57:$A$58</formula1>
    </dataValidation>
    <dataValidation sqref="C13" showDropDown="0" showInputMessage="0" showErrorMessage="0" allowBlank="0" error="Escolhe uma opção da lista (definida na folha Parametros)." type="list">
      <formula1>=Parametros!$A$61:$A$63</formula1>
    </dataValidation>
    <dataValidation sqref="C14" showDropDown="0" showInputMessage="0" showErrorMessage="0" allowBlank="0" error="Escolhe uma opção da lista (definida na folha Parametros)." type="list">
      <formula1>=Parametros!$A$47:$A$49</formula1>
    </dataValidation>
    <dataValidation sqref="C15" showDropDown="0" showInputMessage="0" showErrorMessage="0" allowBlank="0" error="Escolhe uma opção da lista (definida na folha Parametros)." type="list">
      <formula1>=Parametros!$A$52:$A$54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E4C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DETALHE DO CÁLCULO</t>
        </is>
      </c>
    </row>
    <row r="2">
      <c r="A2" s="2" t="inlineStr">
        <is>
          <t>Folha de auditoria: mostra de onde vem cada hora e cada euro. Não requer edição.</t>
        </is>
      </c>
    </row>
    <row r="4">
      <c r="A4" s="23" t="inlineStr">
        <is>
          <t>Fase</t>
        </is>
      </c>
      <c r="B4" s="23" t="inlineStr">
        <is>
          <t>Horas base</t>
        </is>
      </c>
      <c r="C4" s="23" t="inlineStr">
        <is>
          <t>Fator</t>
        </is>
      </c>
      <c r="D4" s="23" t="inlineStr">
        <is>
          <t>Horas ajustadas</t>
        </is>
      </c>
      <c r="E4" s="23" t="inlineStr">
        <is>
          <t>Tarifa €/h</t>
        </is>
      </c>
      <c r="F4" s="23" t="inlineStr">
        <is>
          <t>Valor</t>
        </is>
      </c>
    </row>
    <row r="5">
      <c r="A5" s="24" t="inlineStr">
        <is>
          <t>Descoberta / Estratégia</t>
        </is>
      </c>
      <c r="B5" s="25">
        <f>VLOOKUP(Calculadora!$C$6,Parametros!$A$27:$I$33,2,FALSE)</f>
        <v/>
      </c>
      <c r="C5" s="26">
        <f>VLOOKUP(Calculadora!$C$7,Parametros!$A$36:$B$39,2,FALSE)</f>
        <v/>
      </c>
      <c r="D5" s="25">
        <f>B5*C5</f>
        <v/>
      </c>
      <c r="E5" s="16">
        <f>Parametros!$B$4</f>
        <v/>
      </c>
      <c r="F5" s="27">
        <f>D5*E5</f>
        <v/>
      </c>
    </row>
    <row r="6">
      <c r="A6" s="28" t="inlineStr">
        <is>
          <t>UX / Design</t>
        </is>
      </c>
      <c r="B6" s="29">
        <f>VLOOKUP(Calculadora!$C$6,Parametros!$A$27:$I$33,3,FALSE)+MAX(0,Calculadora!$C$8-VLOOKUP(Calculadora!$C$6,Parametros!$A$27:$I$33,8,FALSE))*Parametros!$B$20*0.4</f>
        <v/>
      </c>
      <c r="C6" s="30">
        <f>VLOOKUP(Calculadora!$C$7,Parametros!$A$36:$B$39,2,FALSE)*VLOOKUP(Calculadora!$C$9,Parametros!$A$42:$B$44,2,FALSE)</f>
        <v/>
      </c>
      <c r="D6" s="29">
        <f>B6*C6</f>
        <v/>
      </c>
      <c r="E6" s="31">
        <f>Parametros!$B$5</f>
        <v/>
      </c>
      <c r="F6" s="32">
        <f>D6*E6</f>
        <v/>
      </c>
    </row>
    <row r="7">
      <c r="A7" s="24" t="inlineStr">
        <is>
          <t>Frontend</t>
        </is>
      </c>
      <c r="B7" s="25">
        <f>VLOOKUP(Calculadora!$C$6,Parametros!$A$27:$I$33,4,FALSE)+MAX(0,Calculadora!$C$8-VLOOKUP(Calculadora!$C$6,Parametros!$A$27:$I$33,8,FALSE))*Parametros!$B$20*0.6</f>
        <v/>
      </c>
      <c r="C7" s="26">
        <f>VLOOKUP(Calculadora!$C$7,Parametros!$A$36:$B$39,2,FALSE)*VLOOKUP(Calculadora!$C$9,Parametros!$A$42:$B$44,2,FALSE)*(1+MAX(0,Calculadora!$C$10-1)*Parametros!$B$21)</f>
        <v/>
      </c>
      <c r="D7" s="25">
        <f>B7*C7</f>
        <v/>
      </c>
      <c r="E7" s="16">
        <f>Parametros!$B$6</f>
        <v/>
      </c>
      <c r="F7" s="27">
        <f>D7*E7</f>
        <v/>
      </c>
    </row>
    <row r="8">
      <c r="A8" s="28" t="inlineStr">
        <is>
          <t>Backend / CMS</t>
        </is>
      </c>
      <c r="B8" s="29">
        <f>VLOOKUP(Calculadora!$C$6,Parametros!$A$27:$I$33,5,FALSE)</f>
        <v/>
      </c>
      <c r="C8" s="30">
        <f>VLOOKUP(Calculadora!$C$7,Parametros!$A$36:$B$39,2,FALSE)</f>
        <v/>
      </c>
      <c r="D8" s="29">
        <f>B8*C8</f>
        <v/>
      </c>
      <c r="E8" s="31">
        <f>Parametros!$B$7</f>
        <v/>
      </c>
      <c r="F8" s="32">
        <f>D8*E8</f>
        <v/>
      </c>
    </row>
    <row r="9">
      <c r="A9" s="24" t="inlineStr">
        <is>
          <t>Integrações / API</t>
        </is>
      </c>
      <c r="B9" s="25">
        <f>VLOOKUP(Calculadora!$C$6,Parametros!$A$27:$I$33,6,FALSE)+Calculadora!$C$11*Parametros!$B$22</f>
        <v/>
      </c>
      <c r="C9" s="26">
        <f>VLOOKUP(Calculadora!$C$7,Parametros!$A$36:$B$39,2,FALSE)</f>
        <v/>
      </c>
      <c r="D9" s="25">
        <f>B9*C9</f>
        <v/>
      </c>
      <c r="E9" s="16">
        <f>Parametros!$B$8</f>
        <v/>
      </c>
      <c r="F9" s="27">
        <f>D9*E9</f>
        <v/>
      </c>
    </row>
    <row r="10">
      <c r="A10" s="28" t="inlineStr">
        <is>
          <t>QA / Testes</t>
        </is>
      </c>
      <c r="B10" s="29">
        <f>VLOOKUP(Calculadora!$C$6,Parametros!$A$27:$I$33,7,FALSE)</f>
        <v/>
      </c>
      <c r="C10" s="30">
        <f>VLOOKUP(Calculadora!$C$7,Parametros!$A$36:$B$39,2,FALSE)*(1+MAX(0,Calculadora!$C$10-1)*Parametros!$B$21)</f>
        <v/>
      </c>
      <c r="D10" s="29">
        <f>B10*C10</f>
        <v/>
      </c>
      <c r="E10" s="31">
        <f>Parametros!$B$9</f>
        <v/>
      </c>
      <c r="F10" s="32">
        <f>D10*E10</f>
        <v/>
      </c>
    </row>
    <row r="11">
      <c r="A11" s="24" t="inlineStr">
        <is>
          <t>Produção de conteúdos</t>
        </is>
      </c>
      <c r="B11" s="25">
        <f>VLOOKUP(Calculadora!$C$12,Parametros!$A$57:$B$58,2,FALSE)</f>
        <v/>
      </c>
      <c r="C11" s="26">
        <f>(1+MAX(0,Calculadora!$C$10-1)*Parametros!$B$21)</f>
        <v/>
      </c>
      <c r="D11" s="25">
        <f>B11*C11</f>
        <v/>
      </c>
      <c r="E11" s="16">
        <f>Parametros!$B$11</f>
        <v/>
      </c>
      <c r="F11" s="27">
        <f>D11*E11</f>
        <v/>
      </c>
    </row>
    <row r="12">
      <c r="A12" s="28" t="inlineStr">
        <is>
          <t>SEO</t>
        </is>
      </c>
      <c r="B12" s="29">
        <f>VLOOKUP(Calculadora!$C$13,Parametros!$A$61:$B$63,2,FALSE)</f>
        <v/>
      </c>
      <c r="C12" s="30">
        <f>(1+MAX(0,Calculadora!$C$10-1)*Parametros!$B$21)</f>
        <v/>
      </c>
      <c r="D12" s="29">
        <f>B12*C12</f>
        <v/>
      </c>
      <c r="E12" s="31">
        <f>Parametros!$B$12</f>
        <v/>
      </c>
      <c r="F12" s="32">
        <f>D12*E12</f>
        <v/>
      </c>
    </row>
    <row r="13">
      <c r="A13" s="33" t="inlineStr">
        <is>
          <t>Subtotal técnico</t>
        </is>
      </c>
      <c r="B13" s="33" t="n"/>
      <c r="C13" s="33" t="n"/>
      <c r="D13" s="34">
        <f>SUM(D5:D12)</f>
        <v/>
      </c>
      <c r="E13" s="33" t="n"/>
      <c r="F13" s="35">
        <f>SUM(F5:F12)</f>
        <v/>
      </c>
    </row>
    <row r="14">
      <c r="A14" s="33" t="inlineStr">
        <is>
          <t>Gestão de projeto</t>
        </is>
      </c>
      <c r="B14" s="33" t="n"/>
      <c r="C14" s="33" t="n"/>
      <c r="D14" s="34">
        <f>D13*Parametros!$B$15</f>
        <v/>
      </c>
      <c r="E14" s="36">
        <f>Parametros!$B$10</f>
        <v/>
      </c>
      <c r="F14" s="35">
        <f>D14*E14</f>
        <v/>
      </c>
    </row>
    <row r="15">
      <c r="A15" s="33" t="inlineStr">
        <is>
          <t>Buffer de risco</t>
        </is>
      </c>
      <c r="B15" s="33" t="n"/>
      <c r="C15" s="33" t="n"/>
      <c r="D15" s="34">
        <f>(D13+D14)*Parametros!$B$16</f>
        <v/>
      </c>
      <c r="E15" s="33" t="n"/>
      <c r="F15" s="35">
        <f>(F13+F14)*Parametros!$B$16</f>
        <v/>
      </c>
    </row>
    <row r="16">
      <c r="A16" s="33" t="inlineStr">
        <is>
          <t>TOTAL</t>
        </is>
      </c>
      <c r="B16" s="33" t="n"/>
      <c r="C16" s="33" t="n"/>
      <c r="D16" s="34">
        <f>D13+D14+D15</f>
        <v/>
      </c>
      <c r="E16" s="33" t="n"/>
      <c r="F16" s="35">
        <f>F13+F14+F15</f>
        <v/>
      </c>
    </row>
    <row r="18">
      <c r="A18" s="5" t="inlineStr">
        <is>
          <t>Fator de urgência</t>
        </is>
      </c>
      <c r="D18" s="26">
        <f>VLOOKUP(Calculadora!$C$14,Parametros!$A$47:$B$49,2,FALSE)</f>
        <v/>
      </c>
    </row>
    <row r="19">
      <c r="A19" s="5" t="inlineStr">
        <is>
          <t>Fator de perfil de cliente</t>
        </is>
      </c>
      <c r="D19" s="26">
        <f>VLOOKUP(Calculadora!$C$15,Parametros!$A$52:$B$54,2,FALSE)</f>
        <v/>
      </c>
    </row>
    <row r="20">
      <c r="A20" s="37" t="inlineStr">
        <is>
          <t>PREÇO BASE (antes de escalões)</t>
        </is>
      </c>
      <c r="F20" s="38">
        <f>F16*D18*D19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E4C"/>
    <outlinePr summaryBelow="1" summaryRight="1"/>
    <pageSetUpPr/>
  </sheetPr>
  <dimension ref="A1:I6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14" customWidth="1" min="9" max="9"/>
  </cols>
  <sheetData>
    <row r="1">
      <c r="A1" s="1" t="inlineStr">
        <is>
          <t>PARÂMETROS DO MODELO esDEV</t>
        </is>
      </c>
    </row>
    <row r="2">
      <c r="A2" s="2" t="inlineStr">
        <is>
          <t>Toda a calibração do preço vive nesta folha. Altera aqui — nunca nas fórmulas da folha Calculadora.</t>
        </is>
      </c>
    </row>
    <row r="3" ht="20" customHeight="1">
      <c r="A3" s="3" t="inlineStr">
        <is>
          <t>TARIFAS POR FASE (€ / hora)</t>
        </is>
      </c>
      <c r="B3" s="4" t="n"/>
      <c r="C3" s="4" t="n"/>
    </row>
    <row r="4">
      <c r="A4" s="5" t="inlineStr">
        <is>
          <t>Descoberta / Estratégia</t>
        </is>
      </c>
      <c r="B4" s="39" t="n">
        <v>40</v>
      </c>
    </row>
    <row r="5">
      <c r="A5" s="5" t="inlineStr">
        <is>
          <t>UX / Design</t>
        </is>
      </c>
      <c r="B5" s="39" t="n">
        <v>45</v>
      </c>
    </row>
    <row r="6">
      <c r="A6" s="5" t="inlineStr">
        <is>
          <t>Frontend</t>
        </is>
      </c>
      <c r="B6" s="39" t="n">
        <v>45</v>
      </c>
    </row>
    <row r="7">
      <c r="A7" s="5" t="inlineStr">
        <is>
          <t>Backend / CMS</t>
        </is>
      </c>
      <c r="B7" s="39" t="n">
        <v>50</v>
      </c>
    </row>
    <row r="8">
      <c r="A8" s="5" t="inlineStr">
        <is>
          <t>Integrações / API</t>
        </is>
      </c>
      <c r="B8" s="39" t="n">
        <v>55</v>
      </c>
    </row>
    <row r="9">
      <c r="A9" s="5" t="inlineStr">
        <is>
          <t>QA / Testes</t>
        </is>
      </c>
      <c r="B9" s="39" t="n">
        <v>35</v>
      </c>
    </row>
    <row r="10">
      <c r="A10" s="5" t="inlineStr">
        <is>
          <t>Gestão de projeto</t>
        </is>
      </c>
      <c r="B10" s="39" t="n">
        <v>40</v>
      </c>
    </row>
    <row r="11">
      <c r="A11" s="5" t="inlineStr">
        <is>
          <t>Produção de conteúdos</t>
        </is>
      </c>
      <c r="B11" s="39" t="n">
        <v>40</v>
      </c>
    </row>
    <row r="12">
      <c r="A12" s="5" t="inlineStr">
        <is>
          <t>SEO</t>
        </is>
      </c>
      <c r="B12" s="39" t="n">
        <v>45</v>
      </c>
    </row>
    <row r="14" ht="20" customHeight="1">
      <c r="A14" s="3" t="inlineStr">
        <is>
          <t>CONSTANTES DE CÁLCULO</t>
        </is>
      </c>
      <c r="B14" s="4" t="n"/>
      <c r="C14" s="4" t="n"/>
    </row>
    <row r="15">
      <c r="A15" s="5" t="inlineStr">
        <is>
          <t>Gestão de projeto (% das horas técnicas)</t>
        </is>
      </c>
      <c r="B15" s="40" t="n">
        <v>0.15</v>
      </c>
    </row>
    <row r="16">
      <c r="A16" s="5" t="inlineStr">
        <is>
          <t>Buffer de risco (% sobre horas e valor)</t>
        </is>
      </c>
      <c r="B16" s="40" t="n">
        <v>0.1</v>
      </c>
    </row>
    <row r="17">
      <c r="A17" s="5" t="inlineStr">
        <is>
          <t>Capacidade de produção (h / semana)</t>
        </is>
      </c>
      <c r="B17" s="41" t="n">
        <v>25</v>
      </c>
    </row>
    <row r="18">
      <c r="A18" s="5" t="inlineStr">
        <is>
          <t>Fator do Preço Mínimo</t>
        </is>
      </c>
      <c r="B18" s="42" t="n">
        <v>0.85</v>
      </c>
    </row>
    <row r="19">
      <c r="A19" s="5" t="inlineStr">
        <is>
          <t>Fator do Preço Premium</t>
        </is>
      </c>
      <c r="B19" s="42" t="n">
        <v>1.3</v>
      </c>
    </row>
    <row r="20">
      <c r="A20" s="5" t="inlineStr">
        <is>
          <t>Horas por página / ecrã extra</t>
        </is>
      </c>
      <c r="B20" s="43" t="n">
        <v>3</v>
      </c>
    </row>
    <row r="21">
      <c r="A21" s="5" t="inlineStr">
        <is>
          <t>Acréscimo por idioma adicional (%)</t>
        </is>
      </c>
      <c r="B21" s="40" t="n">
        <v>0.12</v>
      </c>
    </row>
    <row r="22">
      <c r="A22" s="5" t="inlineStr">
        <is>
          <t>Horas por integração externa extra</t>
        </is>
      </c>
      <c r="B22" s="43" t="n">
        <v>6</v>
      </c>
    </row>
    <row r="23">
      <c r="A23" s="5" t="inlineStr">
        <is>
          <t>Arredondamento do preço final (€)</t>
        </is>
      </c>
      <c r="B23" s="41" t="n">
        <v>25</v>
      </c>
    </row>
    <row r="24">
      <c r="A24" s="5" t="inlineStr">
        <is>
          <t>IVA</t>
        </is>
      </c>
      <c r="B24" s="40" t="n">
        <v>0.23</v>
      </c>
    </row>
    <row r="26" ht="20" customHeight="1">
      <c r="A26" s="23" t="inlineStr">
        <is>
          <t>Tipo de projeto</t>
        </is>
      </c>
      <c r="B26" s="23" t="inlineStr">
        <is>
          <t>Descoberta</t>
        </is>
      </c>
      <c r="C26" s="23" t="inlineStr">
        <is>
          <t>UX / Design</t>
        </is>
      </c>
      <c r="D26" s="23" t="inlineStr">
        <is>
          <t>Frontend</t>
        </is>
      </c>
      <c r="E26" s="23" t="inlineStr">
        <is>
          <t>Backend</t>
        </is>
      </c>
      <c r="F26" s="23" t="inlineStr">
        <is>
          <t>Integrações</t>
        </is>
      </c>
      <c r="G26" s="23" t="inlineStr">
        <is>
          <t>QA</t>
        </is>
      </c>
      <c r="H26" s="23" t="inlineStr">
        <is>
          <t>Páginas incl.</t>
        </is>
      </c>
      <c r="I26" s="23" t="inlineStr">
        <is>
          <t>Preço mínimo</t>
        </is>
      </c>
    </row>
    <row r="27">
      <c r="A27" s="24" t="inlineStr">
        <is>
          <t>Landing page (1 página)</t>
        </is>
      </c>
      <c r="B27" s="44" t="n">
        <v>2</v>
      </c>
      <c r="C27" s="44" t="n">
        <v>6</v>
      </c>
      <c r="D27" s="44" t="n">
        <v>14</v>
      </c>
      <c r="E27" s="44" t="n">
        <v>0</v>
      </c>
      <c r="F27" s="44" t="n">
        <v>2</v>
      </c>
      <c r="G27" s="44" t="n">
        <v>3</v>
      </c>
      <c r="H27" s="44" t="n">
        <v>1</v>
      </c>
      <c r="I27" s="45" t="n">
        <v>450</v>
      </c>
    </row>
    <row r="28">
      <c r="A28" s="24" t="inlineStr">
        <is>
          <t>Website institucional (até 5 páginas)</t>
        </is>
      </c>
      <c r="B28" s="44" t="n">
        <v>4</v>
      </c>
      <c r="C28" s="44" t="n">
        <v>12</v>
      </c>
      <c r="D28" s="44" t="n">
        <v>28</v>
      </c>
      <c r="E28" s="44" t="n">
        <v>4</v>
      </c>
      <c r="F28" s="44" t="n">
        <v>4</v>
      </c>
      <c r="G28" s="44" t="n">
        <v>6</v>
      </c>
      <c r="H28" s="44" t="n">
        <v>5</v>
      </c>
      <c r="I28" s="45" t="n">
        <v>950</v>
      </c>
    </row>
    <row r="29">
      <c r="A29" s="24" t="inlineStr">
        <is>
          <t>Website + Blog / CMS</t>
        </is>
      </c>
      <c r="B29" s="44" t="n">
        <v>6</v>
      </c>
      <c r="C29" s="44" t="n">
        <v>16</v>
      </c>
      <c r="D29" s="44" t="n">
        <v>40</v>
      </c>
      <c r="E29" s="44" t="n">
        <v>16</v>
      </c>
      <c r="F29" s="44" t="n">
        <v>6</v>
      </c>
      <c r="G29" s="44" t="n">
        <v>10</v>
      </c>
      <c r="H29" s="44" t="n">
        <v>8</v>
      </c>
      <c r="I29" s="45" t="n">
        <v>1500</v>
      </c>
    </row>
    <row r="30">
      <c r="A30" s="24" t="inlineStr">
        <is>
          <t>Loja online (e-commerce)</t>
        </is>
      </c>
      <c r="B30" s="44" t="n">
        <v>10</v>
      </c>
      <c r="C30" s="44" t="n">
        <v>24</v>
      </c>
      <c r="D30" s="44" t="n">
        <v>70</v>
      </c>
      <c r="E30" s="44" t="n">
        <v>40</v>
      </c>
      <c r="F30" s="44" t="n">
        <v>20</v>
      </c>
      <c r="G30" s="44" t="n">
        <v>18</v>
      </c>
      <c r="H30" s="44" t="n">
        <v>10</v>
      </c>
      <c r="I30" s="45" t="n">
        <v>2900</v>
      </c>
    </row>
    <row r="31">
      <c r="A31" s="24" t="inlineStr">
        <is>
          <t>Web app / Dashboard</t>
        </is>
      </c>
      <c r="B31" s="44" t="n">
        <v>14</v>
      </c>
      <c r="C31" s="44" t="n">
        <v>24</v>
      </c>
      <c r="D31" s="44" t="n">
        <v>90</v>
      </c>
      <c r="E31" s="44" t="n">
        <v>90</v>
      </c>
      <c r="F31" s="44" t="n">
        <v>24</v>
      </c>
      <c r="G31" s="44" t="n">
        <v>28</v>
      </c>
      <c r="H31" s="44" t="n">
        <v>8</v>
      </c>
      <c r="I31" s="45" t="n">
        <v>4500</v>
      </c>
    </row>
    <row r="32">
      <c r="A32" s="24" t="inlineStr">
        <is>
          <t>Automação / Integrações</t>
        </is>
      </c>
      <c r="B32" s="44" t="n">
        <v>8</v>
      </c>
      <c r="C32" s="44" t="n">
        <v>4</v>
      </c>
      <c r="D32" s="44" t="n">
        <v>10</v>
      </c>
      <c r="E32" s="44" t="n">
        <v>40</v>
      </c>
      <c r="F32" s="44" t="n">
        <v>40</v>
      </c>
      <c r="G32" s="44" t="n">
        <v>12</v>
      </c>
      <c r="H32" s="44" t="n">
        <v>1</v>
      </c>
      <c r="I32" s="45" t="n">
        <v>1500</v>
      </c>
    </row>
    <row r="33">
      <c r="A33" s="24" t="inlineStr">
        <is>
          <t>Redesign / Recuperação de site</t>
        </is>
      </c>
      <c r="B33" s="44" t="n">
        <v>4</v>
      </c>
      <c r="C33" s="44" t="n">
        <v>10</v>
      </c>
      <c r="D33" s="44" t="n">
        <v>24</v>
      </c>
      <c r="E33" s="44" t="n">
        <v>10</v>
      </c>
      <c r="F33" s="44" t="n">
        <v>6</v>
      </c>
      <c r="G33" s="44" t="n">
        <v>8</v>
      </c>
      <c r="H33" s="44" t="n">
        <v>5</v>
      </c>
      <c r="I33" s="45" t="n">
        <v>900</v>
      </c>
    </row>
    <row r="35" ht="20" customHeight="1">
      <c r="A35" s="3" t="inlineStr">
        <is>
          <t>NÍVEL DE COMPLEXIDADE</t>
        </is>
      </c>
      <c r="B35" s="3" t="inlineStr">
        <is>
          <t>Fator</t>
        </is>
      </c>
    </row>
    <row r="36">
      <c r="A36" s="5" t="inlineStr">
        <is>
          <t>Simples — pouco conteúdo, sem lógica</t>
        </is>
      </c>
      <c r="B36" s="46" t="n">
        <v>0.85</v>
      </c>
    </row>
    <row r="37">
      <c r="A37" s="5" t="inlineStr">
        <is>
          <t>Média — padrão de mercado</t>
        </is>
      </c>
      <c r="B37" s="46" t="n">
        <v>1</v>
      </c>
    </row>
    <row r="38">
      <c r="A38" s="5" t="inlineStr">
        <is>
          <t>Alta — regras de negócio próprias</t>
        </is>
      </c>
      <c r="B38" s="46" t="n">
        <v>1.35</v>
      </c>
    </row>
    <row r="39">
      <c r="A39" s="5" t="inlineStr">
        <is>
          <t>Muito alta — crítico / à medida</t>
        </is>
      </c>
      <c r="B39" s="46" t="n">
        <v>1.7</v>
      </c>
    </row>
    <row r="41" ht="20" customHeight="1">
      <c r="A41" s="3" t="inlineStr">
        <is>
          <t>NÍVEL DE DESIGN</t>
        </is>
      </c>
      <c r="B41" s="3" t="inlineStr">
        <is>
          <t>Fator</t>
        </is>
      </c>
    </row>
    <row r="42">
      <c r="A42" s="5" t="inlineStr">
        <is>
          <t>Template adaptado</t>
        </is>
      </c>
      <c r="B42" s="46" t="n">
        <v>0.7</v>
      </c>
    </row>
    <row r="43">
      <c r="A43" s="5" t="inlineStr">
        <is>
          <t>Semi-custom (base + identidade)</t>
        </is>
      </c>
      <c r="B43" s="46" t="n">
        <v>1</v>
      </c>
    </row>
    <row r="44">
      <c r="A44" s="5" t="inlineStr">
        <is>
          <t>100% à medida</t>
        </is>
      </c>
      <c r="B44" s="46" t="n">
        <v>1.4</v>
      </c>
    </row>
    <row r="46" ht="20" customHeight="1">
      <c r="A46" s="3" t="inlineStr">
        <is>
          <t>PRAZO / URGÊNCIA</t>
        </is>
      </c>
      <c r="B46" s="3" t="inlineStr">
        <is>
          <t>Fator</t>
        </is>
      </c>
    </row>
    <row r="47">
      <c r="A47" s="5" t="inlineStr">
        <is>
          <t>Normal (prazo confortável)</t>
        </is>
      </c>
      <c r="B47" s="46" t="n">
        <v>1</v>
      </c>
    </row>
    <row r="48">
      <c r="A48" s="5" t="inlineStr">
        <is>
          <t>Apertado (-25% de prazo)</t>
        </is>
      </c>
      <c r="B48" s="46" t="n">
        <v>1.2</v>
      </c>
    </row>
    <row r="49">
      <c r="A49" s="5" t="inlineStr">
        <is>
          <t>Urgente (fora de horas / fila)</t>
        </is>
      </c>
      <c r="B49" s="46" t="n">
        <v>1.4</v>
      </c>
    </row>
    <row r="51" ht="20" customHeight="1">
      <c r="A51" s="3" t="inlineStr">
        <is>
          <t>PERFIL DE CLIENTE</t>
        </is>
      </c>
      <c r="B51" s="3" t="inlineStr">
        <is>
          <t>Fator</t>
        </is>
      </c>
    </row>
    <row r="52">
      <c r="A52" s="5" t="inlineStr">
        <is>
          <t>Startup / Negócio local</t>
        </is>
      </c>
      <c r="B52" s="46" t="n">
        <v>0.9</v>
      </c>
    </row>
    <row r="53">
      <c r="A53" s="5" t="inlineStr">
        <is>
          <t>PME</t>
        </is>
      </c>
      <c r="B53" s="46" t="n">
        <v>1</v>
      </c>
    </row>
    <row r="54">
      <c r="A54" s="5" t="inlineStr">
        <is>
          <t>Corporate / Institucional</t>
        </is>
      </c>
      <c r="B54" s="46" t="n">
        <v>1.2</v>
      </c>
    </row>
    <row r="56" ht="20" customHeight="1">
      <c r="A56" s="3" t="inlineStr">
        <is>
          <t>PRODUÇÃO DE CONTEÚDOS</t>
        </is>
      </c>
      <c r="B56" s="3" t="inlineStr">
        <is>
          <t>Horas</t>
        </is>
      </c>
    </row>
    <row r="57">
      <c r="A57" s="5" t="inlineStr">
        <is>
          <t>Cliente fornece textos e imagens</t>
        </is>
      </c>
      <c r="B57" s="44" t="n">
        <v>0</v>
      </c>
    </row>
    <row r="58">
      <c r="A58" s="5" t="inlineStr">
        <is>
          <t>esDEV produz textos e imagens</t>
        </is>
      </c>
      <c r="B58" s="44" t="n">
        <v>10</v>
      </c>
    </row>
    <row r="60" ht="20" customHeight="1">
      <c r="A60" s="3" t="inlineStr">
        <is>
          <t>SEO</t>
        </is>
      </c>
      <c r="B60" s="3" t="inlineStr">
        <is>
          <t>Horas</t>
        </is>
      </c>
    </row>
    <row r="61">
      <c r="A61" s="5" t="inlineStr">
        <is>
          <t>Sem SEO</t>
        </is>
      </c>
      <c r="B61" s="44" t="n">
        <v>0</v>
      </c>
    </row>
    <row r="62">
      <c r="A62" s="5" t="inlineStr">
        <is>
          <t>SEO base (on-page + meta)</t>
        </is>
      </c>
      <c r="B62" s="44" t="n">
        <v>6</v>
      </c>
    </row>
    <row r="63">
      <c r="A63" s="5" t="inlineStr">
        <is>
          <t>SEO avançado (estrutura + performance)</t>
        </is>
      </c>
      <c r="B63" s="44" t="n">
        <v>16</v>
      </c>
    </row>
    <row r="65" ht="20" customHeight="1">
      <c r="A65" s="3" t="inlineStr">
        <is>
          <t>Plano</t>
        </is>
      </c>
      <c r="B65" s="3" t="inlineStr">
        <is>
          <t>% do preço recomendado</t>
        </is>
      </c>
      <c r="C65" s="3" t="inlineStr">
        <is>
          <t>Mínimo / mês</t>
        </is>
      </c>
      <c r="D65" s="3" t="inlineStr">
        <is>
          <t>Inclui</t>
        </is>
      </c>
    </row>
    <row r="66">
      <c r="A66" s="37" t="inlineStr">
        <is>
          <t>Essencial</t>
        </is>
      </c>
      <c r="B66" s="47" t="n">
        <v>0.02</v>
      </c>
      <c r="C66" s="45" t="n">
        <v>39</v>
      </c>
      <c r="D66" s="5" t="inlineStr">
        <is>
          <t>Alojamento, updates de segurança, backups, 1h/mês de alterações, resposta em 3 dias úteis.</t>
        </is>
      </c>
    </row>
    <row r="67">
      <c r="A67" s="37" t="inlineStr">
        <is>
          <t>Pro</t>
        </is>
      </c>
      <c r="B67" s="47" t="n">
        <v>0.035</v>
      </c>
      <c r="C67" s="45" t="n">
        <v>89</v>
      </c>
      <c r="D67" s="5" t="inlineStr">
        <is>
          <t>Tudo do Essencial + monitorização, 3h/mês de alterações, relatório trimestral, resposta em 1 dia útil.</t>
        </is>
      </c>
    </row>
    <row r="68">
      <c r="A68" s="37" t="inlineStr">
        <is>
          <t>Premium</t>
        </is>
      </c>
      <c r="B68" s="47" t="n">
        <v>0.055</v>
      </c>
      <c r="C68" s="45" t="n">
        <v>149</v>
      </c>
      <c r="D68" s="5" t="inlineStr">
        <is>
          <t>Tudo do Pro + 6h/mês de evolução, prioridade absoluta, SLA 4h úteis, reunião mensal.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E4C"/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2" customWidth="1" min="3" max="3"/>
  </cols>
  <sheetData>
    <row r="1">
      <c r="B1" s="1" t="inlineStr">
        <is>
          <t>RESUMO PARA PROPOSTA</t>
        </is>
      </c>
    </row>
    <row r="2">
      <c r="B2" s="2" t="inlineStr">
        <is>
          <t>Pronto a copiar para o e-mail ou documento de proposta.</t>
        </is>
      </c>
    </row>
    <row r="4">
      <c r="B4" s="37" t="inlineStr">
        <is>
          <t>Projeto</t>
        </is>
      </c>
      <c r="C4" s="24">
        <f>Calculadora!$C$5</f>
        <v/>
      </c>
    </row>
    <row r="5">
      <c r="B5" s="37" t="inlineStr">
        <is>
          <t>Âmbito</t>
        </is>
      </c>
      <c r="C5" s="24">
        <f>Calculadora!$C$6&amp;" · "&amp;Calculadora!$C$7</f>
        <v/>
      </c>
    </row>
    <row r="6">
      <c r="B6" s="37" t="inlineStr">
        <is>
          <t>Dimensão</t>
        </is>
      </c>
      <c r="C6" s="24">
        <f>Calculadora!$C$8&amp;" páginas/ecrãs · "&amp;Calculadora!$C$10&amp;" idioma(s) · "&amp;Calculadora!$C$11&amp;" integração(ões)"</f>
        <v/>
      </c>
    </row>
    <row r="7">
      <c r="B7" s="37" t="inlineStr">
        <is>
          <t>Design</t>
        </is>
      </c>
      <c r="C7" s="24">
        <f>Calculadora!$C$9</f>
        <v/>
      </c>
    </row>
    <row r="8">
      <c r="B8" s="37" t="inlineStr">
        <is>
          <t>Conteúdos</t>
        </is>
      </c>
      <c r="C8" s="24">
        <f>Calculadora!$C$12</f>
        <v/>
      </c>
    </row>
    <row r="9">
      <c r="B9" s="37" t="inlineStr">
        <is>
          <t>SEO</t>
        </is>
      </c>
      <c r="C9" s="24">
        <f>Calculadora!$C$13</f>
        <v/>
      </c>
    </row>
    <row r="10">
      <c r="B10" s="37" t="inlineStr">
        <is>
          <t>Esforço estimado</t>
        </is>
      </c>
      <c r="C10" s="24">
        <f>TEXT(Calculadora!$C$20,"#,##0")&amp;" horas"</f>
        <v/>
      </c>
    </row>
    <row r="11">
      <c r="B11" s="37" t="inlineStr">
        <is>
          <t>Prazo de produção</t>
        </is>
      </c>
      <c r="C11" s="24">
        <f>Calculadora!$C$21&amp;" semanas após aprovação"</f>
        <v/>
      </c>
    </row>
    <row r="13" ht="20" customHeight="1">
      <c r="B13" s="3" t="inlineStr">
        <is>
          <t>INVESTIMENTO</t>
        </is>
      </c>
      <c r="C13" s="4" t="n"/>
      <c r="D13" s="4" t="n"/>
    </row>
    <row r="14">
      <c r="B14" s="37" t="inlineStr">
        <is>
          <t>Valor do projeto (s/ IVA)</t>
        </is>
      </c>
      <c r="C14" s="18">
        <f>Calculadora!$C$27</f>
        <v/>
      </c>
    </row>
    <row r="15">
      <c r="B15" s="5" t="inlineStr">
        <is>
          <t>Valor com IVA à taxa legal</t>
        </is>
      </c>
      <c r="C15" s="16">
        <f>Calculadora!$D$27</f>
        <v/>
      </c>
    </row>
    <row r="16">
      <c r="B16" s="5" t="inlineStr">
        <is>
          <t>Manutenção mensal recomendada (Pro)</t>
        </is>
      </c>
      <c r="C16" s="48">
        <f>Calculadora!$C$33</f>
        <v/>
      </c>
    </row>
    <row r="18">
      <c r="B18" s="37" t="inlineStr">
        <is>
          <t>Condições de pagamento</t>
        </is>
      </c>
    </row>
    <row r="19">
      <c r="B19" s="5">
        <f>TEXT(Calculadora!$D$37,"#,##0 €")&amp;" no arranque · "&amp;TEXT(Calculadora!$D$38,"#,##0 €")&amp;" na aprovação do design · "&amp;TEXT(Calculadora!$D$39,"#,##0 €")&amp;" na entrega"</f>
        <v/>
      </c>
    </row>
    <row r="21">
      <c r="B21" s="37" t="inlineStr">
        <is>
          <t>Notas</t>
        </is>
      </c>
    </row>
    <row r="22">
      <c r="B22" s="5" t="inlineStr">
        <is>
          <t>• Proposta válida por 30 dias.</t>
        </is>
      </c>
    </row>
    <row r="23">
      <c r="B23" s="5" t="inlineStr">
        <is>
          <t>• Inclui duas rondas de revisão por fase; revisões adicionais são orçamentadas à hora.</t>
        </is>
      </c>
    </row>
    <row r="24">
      <c r="B24" s="5" t="inlineStr">
        <is>
          <t>• Alterações de âmbito após aprovação seguem novo orçamento.</t>
        </is>
      </c>
    </row>
    <row r="25">
      <c r="B25" s="5" t="inlineStr">
        <is>
          <t>• Licenças, alojamento e domínio são custos de terceiros, faturados a preço de custo.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2026-08-24T08:37:07Z</dcterms:created>
  <dcterms:modified xsi:type="dcterms:W3CDTF">2026-08-24T08:37:07Z</dcterms:modified>
</cp:coreProperties>
</file>